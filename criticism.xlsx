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qiyuchen/Documents/挑战杯/"/>
    </mc:Choice>
  </mc:AlternateContent>
  <xr:revisionPtr revIDLastSave="0" documentId="13_ncr:1_{ADEE21BB-AA00-0A4A-9CD9-C5747F91DFFD}" xr6:coauthVersionLast="47" xr6:coauthVersionMax="47" xr10:uidLastSave="{00000000-0000-0000-0000-000000000000}"/>
  <bookViews>
    <workbookView xWindow="0" yWindow="680" windowWidth="23480" windowHeight="15400" xr2:uid="{00000000-000D-0000-FFFF-FFFF00000000}"/>
  </bookViews>
  <sheets>
    <sheet name="eval_edges" sheetId="1" r:id="rId1"/>
    <sheet name="ref_notes" sheetId="2" r:id="rId2"/>
    <sheet name="pending_eval_rows" sheetId="3" r:id="rId3"/>
    <sheet name="gui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FD25" i="1" l="1"/>
  <c r="XFD24" i="1"/>
  <c r="XFD23" i="1"/>
  <c r="XFD22" i="1"/>
  <c r="XFD21" i="1"/>
  <c r="XFD20" i="1"/>
  <c r="XFD19" i="1"/>
</calcChain>
</file>

<file path=xl/sharedStrings.xml><?xml version="1.0" encoding="utf-8"?>
<sst xmlns="http://schemas.openxmlformats.org/spreadsheetml/2006/main" count="355" uniqueCount="204">
  <si>
    <t>edge_id</t>
  </si>
  <si>
    <t>event_id</t>
  </si>
  <si>
    <t>text_id</t>
  </si>
  <si>
    <t>sentence_id</t>
  </si>
  <si>
    <t>from_author</t>
  </si>
  <si>
    <t>from_text</t>
  </si>
  <si>
    <t>to_author</t>
  </si>
  <si>
    <t>eval_text</t>
  </si>
  <si>
    <t>stance</t>
  </si>
  <si>
    <t>highlight</t>
  </si>
  <si>
    <t>EDGE0001</t>
  </si>
  <si>
    <t>E1</t>
  </si>
  <si>
    <t>司马彪（西晋）</t>
  </si>
  <si>
    <t>卫庄公，蒯聩也。</t>
  </si>
  <si>
    <t>陆德明（南朝陈-隋-唐）</t>
  </si>
  <si>
    <t>《左传》，卫庄公以鲁哀十五年冬始入国，时颜回已死，不得为庄公，盖是出公辄也。</t>
  </si>
  <si>
    <t>N</t>
  </si>
  <si>
    <t>卫君</t>
  </si>
  <si>
    <t>EDGE0002</t>
  </si>
  <si>
    <t>E2</t>
  </si>
  <si>
    <t>崔撰（东晋）</t>
  </si>
  <si>
    <t>谍，间谍也。</t>
  </si>
  <si>
    <t>褚伯秀（宋）</t>
  </si>
  <si>
    <t>谍字以间谍释之，不通。鬳斋训安为近。</t>
  </si>
  <si>
    <t>谍</t>
  </si>
  <si>
    <t>EDGE0003</t>
  </si>
  <si>
    <t>林疑独（宋）</t>
  </si>
  <si>
    <t>谍，私察，亦间谍之意。</t>
  </si>
  <si>
    <t>EDGE0004</t>
  </si>
  <si>
    <t>林希逸（宋）</t>
  </si>
  <si>
    <t>谍，安也。</t>
  </si>
  <si>
    <t>Y</t>
  </si>
  <si>
    <t>EDGE0005</t>
  </si>
  <si>
    <t>E3</t>
  </si>
  <si>
    <t>郭象（西晋）</t>
  </si>
  <si>
    <t>使物自若，无门者也；付天下之自安，无毒者也。毒，治也。</t>
  </si>
  <si>
    <t>李桢（明）</t>
  </si>
  <si>
    <t>门、毒对文，毒与门不同类。《说文》：“毒，厚也。害人之草，往往而生”义亦不合，毒盖寿之借字。《说文》寿下云：“保也，亦曰高土也，读若毒。”与郭注“自安”义合。张行孚《说文发疑》云：“寿者，累土为台以传信”，即《吕览》所谓：“为高保寿于王路，置鼓其上，远近相闻。”是也。寿者，保卫之所，故借其义为保卫。《周易》：“以此毒天下，而民从之。”《老子》：“亭之毒之”与此“无门无毒”三毒字，皆是此义。《广雅》：“毒，安也。”亦即此训。桢案：寿为毒本字，正与门同类，所以门、毒对文，读郡皓切，音之转也。</t>
  </si>
  <si>
    <t>无门无毒</t>
  </si>
  <si>
    <t>EDGE0006</t>
  </si>
  <si>
    <t>王先谦（清末民初）</t>
  </si>
  <si>
    <t>宣说望文生义，不如李训最合。门者，可以沿为行路；毒者，可以望为标的。无门无毒，使人无可窥寻指目之意。</t>
  </si>
  <si>
    <t>EDGE0007</t>
  </si>
  <si>
    <t>宣颖（清）</t>
  </si>
  <si>
    <t>不阑一陈，不发一药。</t>
  </si>
  <si>
    <t>EDGE0008</t>
  </si>
  <si>
    <t>E4</t>
  </si>
  <si>
    <t>苏舆（清末民初）</t>
  </si>
  <si>
    <t>谓事无成败，而卒可无患者，惟盛德为能。</t>
  </si>
  <si>
    <t>成说未可为训，苏说是也。</t>
  </si>
  <si>
    <t>唯有德者能之</t>
  </si>
  <si>
    <t>EDGE0009</t>
  </si>
  <si>
    <t>成玄英（唐）</t>
  </si>
  <si>
    <t>安得丧于灵府，任成败于前涂，不以忧喜累心者，其唯盛德焉。</t>
  </si>
  <si>
    <t>EDGE0010</t>
  </si>
  <si>
    <t>E5</t>
  </si>
  <si>
    <t>《小尔雅》</t>
  </si>
  <si>
    <t>四尺曰仞。</t>
  </si>
  <si>
    <t>七尺曰仞。</t>
  </si>
  <si>
    <t>仞</t>
  </si>
  <si>
    <t>EDGE0011</t>
  </si>
  <si>
    <t>E6</t>
  </si>
  <si>
    <t>会撮，项椎也。</t>
  </si>
  <si>
    <t>崔说是。《大宗师篇》：“句赘指天。”李（颐）云：“句赘，项椎也，其形如赘。”亦与崔说证合。</t>
  </si>
  <si>
    <t>会撮</t>
  </si>
  <si>
    <t>EDGE0012</t>
  </si>
  <si>
    <t>E7</t>
  </si>
  <si>
    <t>鼓，簸也，小箕曰䇲。简米曰精。</t>
  </si>
  <si>
    <t>鼓筴播精，司马云：“筴同策，小箕也。简米曰精。”崔氏云：“鼓筴，揲蓍；播精，布卦占兆也。”今多从司马说。</t>
  </si>
  <si>
    <t>鼓䇲播精</t>
  </si>
  <si>
    <t>EDGE0013</t>
  </si>
  <si>
    <t>E8</t>
  </si>
  <si>
    <t>偃，或作鼴，俗作鼹。</t>
  </si>
  <si>
    <t>《本草》陶注：“一名鼢鼠，常穿耕地中行，讨掘即得。”《说文》鼢下云：“地行鼠，伯劳所化也。”李桢说误。</t>
  </si>
  <si>
    <t>偃鼠</t>
  </si>
  <si>
    <t>E9</t>
  </si>
  <si>
    <t>向秀（魏末晋初）</t>
  </si>
  <si>
    <t>时女，时女虚静柔顺，和而不喧，未尝求人而为人所求也。</t>
  </si>
  <si>
    <t>时，是也。女，与汝同。前后解者皆以此时女为处子，故牵强不通。其意盖谓：如此言语，岂是汝一等人能之！</t>
  </si>
  <si>
    <t>时女</t>
  </si>
  <si>
    <t>EDGE0014</t>
  </si>
  <si>
    <t>时女，少年处室之女也。</t>
  </si>
  <si>
    <t>EDGE0015</t>
  </si>
  <si>
    <t>时女，犹处女也。</t>
  </si>
  <si>
    <t>EDGE0017</t>
  </si>
  <si>
    <t>E10</t>
  </si>
  <si>
    <t>顺中以为常也。</t>
  </si>
  <si>
    <t>督字训中，乃喜怒哀乐之未发，非特善恶两间之中也。郭氏以中释督，而不明所以。后得虚斋引证切当。</t>
  </si>
  <si>
    <t>缘督以为经</t>
  </si>
  <si>
    <t>EDGE0018</t>
  </si>
  <si>
    <t>赵以夫（宋）</t>
  </si>
  <si>
    <t>督，中也。喜怒哀乐之未发，其感于物也，一出乎性之自然，形诸外者，即此中也。率性之谓道，缘督为经之义也。奇经八脉，中脉为督。</t>
  </si>
  <si>
    <t>EDGE0019</t>
  </si>
  <si>
    <t>E11</t>
  </si>
  <si>
    <t>感物大深，不止于当，遁天者也。将驰鹜于忧乐之境，虽楚戮未加而性情已困，庸非刑哉。</t>
  </si>
  <si>
    <t>语又见《列御寇篇》。《德充符》以孔子为天刑之，则知“遁天刑”是赞语。旧解并误。</t>
  </si>
  <si>
    <t>遁天之刑</t>
  </si>
  <si>
    <t>EDGE0020</t>
  </si>
  <si>
    <t>天之所受，本无物也，犹以有情相感，则是忘其始者之所受，而遁逃其天理，背弃其情实，如此皆得罪于天者，故曰遁天之刑。</t>
  </si>
  <si>
    <t>EDGE0021</t>
  </si>
  <si>
    <t>吕惠卿（宋）</t>
  </si>
  <si>
    <t>无适非天，而欲遁之，不免于刑而已矣。</t>
  </si>
  <si>
    <t>EDGE0022</t>
  </si>
  <si>
    <t>天刑即命，遁于命则累于刑，而忧患生矣。</t>
  </si>
  <si>
    <t>EDGE0023</t>
  </si>
  <si>
    <t>其死也，逃乎造化，背乎世情，忘其所受于天者，至此则天亦无如之何，故曰遁天之刑。</t>
  </si>
  <si>
    <t>EDGE0024</t>
  </si>
  <si>
    <t>遁其天然，牵于俗情，如被刑然。</t>
  </si>
  <si>
    <t>E12</t>
  </si>
  <si>
    <t>以有系者为县，则无系者县解也，县解而性命之情得矣。此养生之要也。</t>
  </si>
  <si>
    <t>为生死所系者为县解，则无死无生者县解也。夫死生不能系，忧乐不能入者，而远古圣人谓是天然之解脱也。且老君大圣，冥一死生，岂复逃遁天刑，驰鹜忧乐？子玄此注，失之远矣。若然者，何谓安时处顺，帝之县解乎？文势前后，自相锋楯。</t>
  </si>
  <si>
    <t>帝之县解</t>
  </si>
  <si>
    <t>ref_id</t>
  </si>
  <si>
    <t>ref_group_id</t>
  </si>
  <si>
    <t>ref_author</t>
  </si>
  <si>
    <t>ref_text</t>
  </si>
  <si>
    <t>REF0001</t>
  </si>
  <si>
    <t>G2</t>
  </si>
  <si>
    <t>李颐（晋）</t>
  </si>
  <si>
    <t>REF0002</t>
  </si>
  <si>
    <t>谍，条理也，当也。</t>
  </si>
  <si>
    <t>REF0003</t>
  </si>
  <si>
    <t>谍者，密觇人意而得之。</t>
  </si>
  <si>
    <t>REF0004</t>
  </si>
  <si>
    <t>释德清（明）</t>
  </si>
  <si>
    <t>谍，犹安妥，谓稳当也。</t>
  </si>
  <si>
    <t>REF0005</t>
  </si>
  <si>
    <t>俞樾（清）</t>
  </si>
  <si>
    <t>谍，便僻也。</t>
  </si>
  <si>
    <t>REF0006</t>
  </si>
  <si>
    <t>G5</t>
  </si>
  <si>
    <t>REF0007</t>
  </si>
  <si>
    <t>G6</t>
  </si>
  <si>
    <t>两肩竦而上，会撮然也。</t>
  </si>
  <si>
    <t>REF0008</t>
  </si>
  <si>
    <t>司马彪	（西晋）</t>
  </si>
  <si>
    <t>会撮，髻也，古者，髻在项中，脊曲头低，故髻指天也。</t>
  </si>
  <si>
    <t>REF0009</t>
  </si>
  <si>
    <t>会撮，高竖貌。</t>
  </si>
  <si>
    <t>REF0010</t>
  </si>
  <si>
    <t>会撮，椎髻也。</t>
  </si>
  <si>
    <t>REF0011</t>
  </si>
  <si>
    <t>会撮，项椎。</t>
  </si>
  <si>
    <t>REF0012</t>
  </si>
  <si>
    <t>发髻也；言背偻而项仰也。</t>
  </si>
  <si>
    <t>REF0013</t>
  </si>
  <si>
    <t>王夫之（明末清初）</t>
  </si>
  <si>
    <t>会撮，髻也。</t>
  </si>
  <si>
    <t>REF0014</t>
  </si>
  <si>
    <t>《素问刺热篇》：“项上三椎，陷者中也。”王注：“此举数脊椎大法也。”沈彤《释骨》云：“项大椎以下二十一椎，通曰脊，骨曰脊椎。”《难经四十五难》云：“骨会大杼。”张注：“大杼，穴名，在项后第一椎，雨旁诸骨自此檠架往下支生，故骨会于大杼。”会撮，正从骨会取义，又在大椎之间，故曰项椎也。《初学记》十九引撮作樶。《玉篇》：“樶，木樶节也。”与脊节正相似。从木作樶，于义为长。</t>
  </si>
  <si>
    <t>REF0015</t>
  </si>
  <si>
    <t>G7</t>
  </si>
  <si>
    <t>鼓䇲，揲蓍钻龟也。播精，卜卦占兆也。鼓䇲播精，言卖卜。</t>
  </si>
  <si>
    <t>REF0016</t>
  </si>
  <si>
    <t>荚，小箕也。精，米也。言其扫市场，鼓箕荚，播扬土，简精粗也。又解：鼓荚，谓布蓍敷卦兆也。播精，谓精判吉凶辩精灵也。</t>
  </si>
  <si>
    <t>REF0017</t>
  </si>
  <si>
    <t>鼓筴，以箕簸米也。播，去其麤而得精米，故曰播精。</t>
  </si>
  <si>
    <t>REF0018</t>
  </si>
  <si>
    <t>言簸米出糠稗也。此就其形之曲戾而可为之事也</t>
  </si>
  <si>
    <t>REF0019</t>
  </si>
  <si>
    <t>鼓䇲，簸米也。</t>
  </si>
  <si>
    <t>REF0020</t>
  </si>
  <si>
    <t>箕也，米之盘者。</t>
  </si>
  <si>
    <t>REF0021</t>
  </si>
  <si>
    <t>G8</t>
  </si>
  <si>
    <t>《说文》：“鼢鼠，一曰偃鼠。”鼢，扶问反。</t>
  </si>
  <si>
    <t>REF0022</t>
  </si>
  <si>
    <t>偃鼠，形大小如牛，亦黑色，獐脚，脚有三甲，耳似象耳，尾端白，好入河饮水。</t>
  </si>
  <si>
    <t>REF0023</t>
  </si>
  <si>
    <t>偃，伏也；偃鼠，潜伏之鼠也。</t>
  </si>
  <si>
    <t>REF0024</t>
  </si>
  <si>
    <t>偃鼠，鼢鼠也，伯劳所化。</t>
  </si>
  <si>
    <t>REF0025</t>
  </si>
  <si>
    <t>偃一作鼹，鼠名，好偃河而饮水。</t>
  </si>
  <si>
    <t>REF0026</t>
  </si>
  <si>
    <t>G9</t>
  </si>
  <si>
    <t>时，是也。</t>
  </si>
  <si>
    <t>REF0027</t>
  </si>
  <si>
    <t>时与是通。因是女，故但言此。女音汝。</t>
  </si>
  <si>
    <t>REF0028</t>
  </si>
  <si>
    <t>时同是；女音汝；岂若汝耶!</t>
  </si>
  <si>
    <t>REF0029</t>
  </si>
  <si>
    <t>时，是也。云是其言也，犹是若处女者也。此人也、此德也云云，极拟议之词。</t>
  </si>
  <si>
    <t>pending_id</t>
  </si>
  <si>
    <t>source_row</t>
  </si>
  <si>
    <t>issue</t>
  </si>
  <si>
    <t>item</t>
  </si>
  <si>
    <t>rule</t>
  </si>
  <si>
    <t>数据来源</t>
  </si>
  <si>
    <t>criticism.xlsx / sheet=Sheet1</t>
  </si>
  <si>
    <t>eval_edges 含义</t>
  </si>
  <si>
    <t>只包含 Y/N 且评价信息完整的关系。前端画箭头只读这个sheet。</t>
  </si>
  <si>
    <t>ref_notes 含义</t>
  </si>
  <si>
    <t>只包含 NAN 参考记录，不画箭头。</t>
  </si>
  <si>
    <t>pending_eval_rows 含义</t>
  </si>
  <si>
    <t>Y/N 但缺评价者或评价语，或未知态度，需人工补全后再并入eval_edges。</t>
  </si>
  <si>
    <t>多对1写法</t>
  </si>
  <si>
    <t>同event_id，多行from_author/from_text指向同一to_author/eval_text。</t>
  </si>
  <si>
    <t>颜色规则</t>
  </si>
  <si>
    <t>Y=绿色(支持), N=红色(反对)。</t>
  </si>
  <si>
    <t>本次转换统计</t>
  </si>
  <si>
    <t>eval_edges=24, ref_notes=31, pending=0</t>
  </si>
  <si>
    <t>REF0030</t>
  </si>
  <si>
    <t>EDGE0016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</si>
</sst>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rgb="FF2F2517"/>
      <name val="宋体"/>
      <charset val="134"/>
    </font>
    <font>
      <sz val="12"/>
      <color rgb="FF000000"/>
      <name val="Aptos Narrow"/>
    </font>
    <font>
      <sz val="10"/>
      <color rgb="FF000000"/>
      <name val="等线"/>
      <family val="4"/>
      <charset val="134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DDB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6"/>
  <sheetViews>
    <sheetView tabSelected="1" zoomScale="83" zoomScaleNormal="83" workbookViewId="0">
      <pane ySplit="1" topLeftCell="A9" activePane="bottomLeft" state="frozen"/>
      <selection pane="bottomLeft" activeCell="D24" sqref="D24"/>
    </sheetView>
  </sheetViews>
  <sheetFormatPr baseColWidth="10" defaultColWidth="8.83203125" defaultRowHeight="15"/>
  <cols>
    <col min="1" max="1" width="11" customWidth="1"/>
    <col min="2" max="2" width="12" customWidth="1"/>
    <col min="3" max="3" width="9" customWidth="1"/>
    <col min="4" max="4" width="11" customWidth="1"/>
    <col min="5" max="5" width="15" customWidth="1"/>
    <col min="6" max="6" width="54" customWidth="1"/>
    <col min="7" max="7" width="15" customWidth="1"/>
    <col min="8" max="8" width="58" customWidth="1"/>
    <col min="9" max="9" width="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ht="32">
      <c r="A2" s="2" t="s">
        <v>10</v>
      </c>
      <c r="B2" s="2" t="s">
        <v>11</v>
      </c>
      <c r="C2" s="2">
        <v>1</v>
      </c>
      <c r="D2" s="2">
        <v>10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t="s">
        <v>17</v>
      </c>
    </row>
    <row r="3" spans="1:10" customFormat="1" ht="16">
      <c r="A3" s="5" t="s">
        <v>18</v>
      </c>
      <c r="B3" s="2" t="s">
        <v>19</v>
      </c>
      <c r="C3" s="2">
        <v>1</v>
      </c>
      <c r="D3" s="2">
        <v>143</v>
      </c>
      <c r="E3" s="2" t="s">
        <v>26</v>
      </c>
      <c r="F3" s="2" t="s">
        <v>27</v>
      </c>
      <c r="G3" s="2" t="s">
        <v>22</v>
      </c>
      <c r="H3" s="2" t="s">
        <v>23</v>
      </c>
      <c r="I3" s="2" t="s">
        <v>16</v>
      </c>
      <c r="J3" t="s">
        <v>24</v>
      </c>
    </row>
    <row r="4" spans="1:10" customFormat="1" ht="16">
      <c r="A4" s="2" t="s">
        <v>25</v>
      </c>
      <c r="B4" s="2" t="s">
        <v>19</v>
      </c>
      <c r="C4" s="2">
        <v>1</v>
      </c>
      <c r="D4" s="2">
        <v>143</v>
      </c>
      <c r="E4" s="2" t="s">
        <v>29</v>
      </c>
      <c r="F4" s="2" t="s">
        <v>30</v>
      </c>
      <c r="G4" s="2" t="s">
        <v>22</v>
      </c>
      <c r="H4" s="2" t="s">
        <v>23</v>
      </c>
      <c r="I4" s="2" t="s">
        <v>31</v>
      </c>
      <c r="J4" t="s">
        <v>24</v>
      </c>
    </row>
    <row r="5" spans="1:10" customFormat="1" ht="128">
      <c r="A5" s="5" t="s">
        <v>28</v>
      </c>
      <c r="B5" s="2" t="s">
        <v>33</v>
      </c>
      <c r="C5" s="2">
        <v>1</v>
      </c>
      <c r="D5" s="2">
        <v>193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31</v>
      </c>
      <c r="J5" t="s">
        <v>38</v>
      </c>
    </row>
    <row r="6" spans="1:10" customFormat="1" ht="144">
      <c r="A6" s="2" t="s">
        <v>32</v>
      </c>
      <c r="B6" s="2" t="s">
        <v>33</v>
      </c>
      <c r="C6" s="2">
        <v>1</v>
      </c>
      <c r="D6" s="2">
        <v>193</v>
      </c>
      <c r="E6" s="2" t="s">
        <v>36</v>
      </c>
      <c r="F6" s="2" t="s">
        <v>37</v>
      </c>
      <c r="G6" s="2" t="s">
        <v>40</v>
      </c>
      <c r="H6" s="2" t="s">
        <v>41</v>
      </c>
      <c r="I6" s="2" t="s">
        <v>31</v>
      </c>
      <c r="J6" t="s">
        <v>38</v>
      </c>
    </row>
    <row r="7" spans="1:10" customFormat="1" ht="32">
      <c r="A7" s="5" t="s">
        <v>39</v>
      </c>
      <c r="B7" s="2" t="s">
        <v>33</v>
      </c>
      <c r="C7" s="2">
        <v>1</v>
      </c>
      <c r="D7" s="2">
        <v>193</v>
      </c>
      <c r="E7" s="2" t="s">
        <v>43</v>
      </c>
      <c r="F7" s="2" t="s">
        <v>44</v>
      </c>
      <c r="G7" s="2" t="s">
        <v>40</v>
      </c>
      <c r="H7" s="2" t="s">
        <v>41</v>
      </c>
      <c r="I7" s="2" t="s">
        <v>16</v>
      </c>
      <c r="J7" t="s">
        <v>38</v>
      </c>
    </row>
    <row r="8" spans="1:10" customFormat="1" ht="34">
      <c r="A8" s="2" t="s">
        <v>42</v>
      </c>
      <c r="B8" s="2" t="s">
        <v>46</v>
      </c>
      <c r="C8" s="2">
        <v>1</v>
      </c>
      <c r="D8" s="2">
        <v>235</v>
      </c>
      <c r="E8" s="2" t="s">
        <v>47</v>
      </c>
      <c r="F8" s="2" t="s">
        <v>48</v>
      </c>
      <c r="G8" s="2" t="s">
        <v>40</v>
      </c>
      <c r="H8" s="2" t="s">
        <v>49</v>
      </c>
      <c r="I8" s="2" t="s">
        <v>31</v>
      </c>
      <c r="J8" s="3" t="s">
        <v>50</v>
      </c>
    </row>
    <row r="9" spans="1:10" customFormat="1" ht="34">
      <c r="A9" s="5" t="s">
        <v>45</v>
      </c>
      <c r="B9" s="2" t="s">
        <v>46</v>
      </c>
      <c r="C9" s="2">
        <v>1</v>
      </c>
      <c r="D9" s="2">
        <v>235</v>
      </c>
      <c r="E9" s="2" t="s">
        <v>52</v>
      </c>
      <c r="F9" s="2" t="s">
        <v>53</v>
      </c>
      <c r="G9" s="2" t="s">
        <v>40</v>
      </c>
      <c r="H9" s="2" t="s">
        <v>49</v>
      </c>
      <c r="I9" s="2" t="s">
        <v>16</v>
      </c>
      <c r="J9" s="3" t="s">
        <v>50</v>
      </c>
    </row>
    <row r="10" spans="1:10" customFormat="1" ht="32">
      <c r="A10" s="2" t="s">
        <v>51</v>
      </c>
      <c r="B10" s="2" t="s">
        <v>55</v>
      </c>
      <c r="C10" s="2">
        <v>1</v>
      </c>
      <c r="D10" s="2">
        <v>406</v>
      </c>
      <c r="E10" s="2" t="s">
        <v>56</v>
      </c>
      <c r="F10" s="2" t="s">
        <v>57</v>
      </c>
      <c r="G10" s="2" t="s">
        <v>14</v>
      </c>
      <c r="H10" s="2" t="s">
        <v>58</v>
      </c>
      <c r="I10" s="2" t="s">
        <v>16</v>
      </c>
      <c r="J10" t="s">
        <v>59</v>
      </c>
    </row>
    <row r="11" spans="1:10" customFormat="1" ht="32">
      <c r="A11" s="5" t="s">
        <v>54</v>
      </c>
      <c r="B11" s="2" t="s">
        <v>61</v>
      </c>
      <c r="C11" s="2">
        <v>1</v>
      </c>
      <c r="D11" s="2">
        <v>510</v>
      </c>
      <c r="E11" s="2" t="s">
        <v>20</v>
      </c>
      <c r="F11" s="2" t="s">
        <v>62</v>
      </c>
      <c r="G11" s="2" t="s">
        <v>36</v>
      </c>
      <c r="H11" s="2" t="s">
        <v>63</v>
      </c>
      <c r="I11" s="2" t="s">
        <v>31</v>
      </c>
      <c r="J11" t="s">
        <v>64</v>
      </c>
    </row>
    <row r="12" spans="1:10" customFormat="1" ht="32">
      <c r="A12" s="2" t="s">
        <v>60</v>
      </c>
      <c r="B12" s="2" t="s">
        <v>66</v>
      </c>
      <c r="C12" s="2">
        <v>1</v>
      </c>
      <c r="D12" s="2">
        <v>515</v>
      </c>
      <c r="E12" s="2" t="s">
        <v>12</v>
      </c>
      <c r="F12" s="2" t="s">
        <v>67</v>
      </c>
      <c r="G12" s="2" t="s">
        <v>22</v>
      </c>
      <c r="H12" s="2" t="s">
        <v>68</v>
      </c>
      <c r="I12" s="2" t="s">
        <v>31</v>
      </c>
      <c r="J12" t="s">
        <v>69</v>
      </c>
    </row>
    <row r="13" spans="1:10" customFormat="1" ht="32">
      <c r="A13" s="5" t="s">
        <v>65</v>
      </c>
      <c r="B13" s="2" t="s">
        <v>71</v>
      </c>
      <c r="C13" s="2">
        <v>2</v>
      </c>
      <c r="D13" s="2">
        <v>149</v>
      </c>
      <c r="E13" s="2" t="s">
        <v>36</v>
      </c>
      <c r="F13" s="2" t="s">
        <v>72</v>
      </c>
      <c r="G13" s="2" t="s">
        <v>40</v>
      </c>
      <c r="H13" s="2" t="s">
        <v>73</v>
      </c>
      <c r="I13" s="2" t="s">
        <v>16</v>
      </c>
      <c r="J13" t="s">
        <v>74</v>
      </c>
    </row>
    <row r="14" spans="1:10" customFormat="1" ht="32">
      <c r="A14" s="2" t="s">
        <v>70</v>
      </c>
      <c r="B14" s="2" t="s">
        <v>75</v>
      </c>
      <c r="C14" s="2">
        <v>2</v>
      </c>
      <c r="D14" s="2">
        <v>185</v>
      </c>
      <c r="E14" s="4" t="s">
        <v>76</v>
      </c>
      <c r="F14" s="2" t="s">
        <v>77</v>
      </c>
      <c r="G14" s="2" t="s">
        <v>29</v>
      </c>
      <c r="H14" s="2" t="s">
        <v>78</v>
      </c>
      <c r="I14" s="2" t="s">
        <v>16</v>
      </c>
      <c r="J14" t="s">
        <v>79</v>
      </c>
    </row>
    <row r="15" spans="1:10" customFormat="1" ht="32">
      <c r="A15" s="5" t="s">
        <v>80</v>
      </c>
      <c r="B15" s="2" t="s">
        <v>75</v>
      </c>
      <c r="C15" s="2">
        <v>2</v>
      </c>
      <c r="D15" s="2">
        <v>185</v>
      </c>
      <c r="E15" s="4" t="s">
        <v>52</v>
      </c>
      <c r="F15" s="2" t="s">
        <v>81</v>
      </c>
      <c r="G15" s="2" t="s">
        <v>29</v>
      </c>
      <c r="H15" s="2" t="s">
        <v>78</v>
      </c>
      <c r="I15" s="2" t="s">
        <v>16</v>
      </c>
      <c r="J15" t="s">
        <v>79</v>
      </c>
    </row>
    <row r="16" spans="1:10" customFormat="1" ht="32">
      <c r="A16" s="2" t="s">
        <v>82</v>
      </c>
      <c r="B16" s="2" t="s">
        <v>75</v>
      </c>
      <c r="C16" s="2">
        <v>2</v>
      </c>
      <c r="D16" s="2">
        <v>185</v>
      </c>
      <c r="E16" s="2" t="s">
        <v>12</v>
      </c>
      <c r="F16" s="2" t="s">
        <v>83</v>
      </c>
      <c r="G16" s="2" t="s">
        <v>29</v>
      </c>
      <c r="H16" s="2" t="s">
        <v>78</v>
      </c>
      <c r="I16" s="2" t="s">
        <v>16</v>
      </c>
      <c r="J16" t="s">
        <v>79</v>
      </c>
    </row>
    <row r="17" spans="1:10 16384:16384" customFormat="1" ht="32">
      <c r="A17" s="5" t="s">
        <v>203</v>
      </c>
      <c r="B17" s="2" t="s">
        <v>85</v>
      </c>
      <c r="C17" s="2">
        <v>3</v>
      </c>
      <c r="D17" s="2">
        <v>9</v>
      </c>
      <c r="E17" s="2" t="s">
        <v>34</v>
      </c>
      <c r="F17" s="2" t="s">
        <v>86</v>
      </c>
      <c r="G17" s="2" t="s">
        <v>22</v>
      </c>
      <c r="H17" s="2" t="s">
        <v>87</v>
      </c>
      <c r="I17" s="2" t="s">
        <v>16</v>
      </c>
      <c r="J17" t="s">
        <v>88</v>
      </c>
    </row>
    <row r="18" spans="1:10 16384:16384" customFormat="1" ht="48">
      <c r="A18" s="2" t="s">
        <v>84</v>
      </c>
      <c r="B18" s="2" t="s">
        <v>85</v>
      </c>
      <c r="C18" s="2">
        <v>3</v>
      </c>
      <c r="D18" s="2">
        <v>9</v>
      </c>
      <c r="E18" s="2" t="s">
        <v>90</v>
      </c>
      <c r="F18" s="2" t="s">
        <v>91</v>
      </c>
      <c r="G18" s="2" t="s">
        <v>22</v>
      </c>
      <c r="H18" s="2" t="s">
        <v>87</v>
      </c>
      <c r="I18" s="2" t="s">
        <v>31</v>
      </c>
      <c r="J18" t="s">
        <v>88</v>
      </c>
    </row>
    <row r="19" spans="1:10 16384:16384" customFormat="1" ht="32">
      <c r="A19" s="5" t="s">
        <v>89</v>
      </c>
      <c r="B19" s="2" t="s">
        <v>93</v>
      </c>
      <c r="C19" s="2">
        <v>3</v>
      </c>
      <c r="D19" s="2">
        <v>114</v>
      </c>
      <c r="E19" s="2" t="s">
        <v>34</v>
      </c>
      <c r="F19" s="2" t="s">
        <v>94</v>
      </c>
      <c r="G19" s="2" t="s">
        <v>40</v>
      </c>
      <c r="H19" s="2" t="s">
        <v>95</v>
      </c>
      <c r="I19" s="2" t="s">
        <v>16</v>
      </c>
      <c r="J19" t="s">
        <v>96</v>
      </c>
      <c r="XFD19">
        <f t="shared" ref="XFD19:XFD25" si="0">SUM(C19:XFC19)</f>
        <v>117</v>
      </c>
    </row>
    <row r="20" spans="1:10 16384:16384" customFormat="1" ht="32">
      <c r="A20" s="2" t="s">
        <v>92</v>
      </c>
      <c r="B20" s="2" t="s">
        <v>93</v>
      </c>
      <c r="C20" s="2">
        <v>3</v>
      </c>
      <c r="D20" s="2">
        <v>114</v>
      </c>
      <c r="E20" s="2" t="s">
        <v>29</v>
      </c>
      <c r="F20" s="2" t="s">
        <v>98</v>
      </c>
      <c r="G20" s="2" t="s">
        <v>40</v>
      </c>
      <c r="H20" s="2" t="s">
        <v>95</v>
      </c>
      <c r="I20" s="2" t="s">
        <v>16</v>
      </c>
      <c r="J20" t="s">
        <v>96</v>
      </c>
      <c r="XFD20">
        <f t="shared" si="0"/>
        <v>117</v>
      </c>
    </row>
    <row r="21" spans="1:10 16384:16384" customFormat="1" ht="32">
      <c r="A21" s="5" t="s">
        <v>97</v>
      </c>
      <c r="B21" s="2" t="s">
        <v>93</v>
      </c>
      <c r="C21" s="2">
        <v>3</v>
      </c>
      <c r="D21" s="2">
        <v>114</v>
      </c>
      <c r="E21" s="2" t="s">
        <v>100</v>
      </c>
      <c r="F21" s="2" t="s">
        <v>101</v>
      </c>
      <c r="G21" s="2" t="s">
        <v>40</v>
      </c>
      <c r="H21" s="2" t="s">
        <v>95</v>
      </c>
      <c r="I21" s="2" t="s">
        <v>16</v>
      </c>
      <c r="J21" t="s">
        <v>96</v>
      </c>
      <c r="XFD21">
        <f t="shared" si="0"/>
        <v>117</v>
      </c>
    </row>
    <row r="22" spans="1:10 16384:16384" customFormat="1" ht="32">
      <c r="A22" s="2" t="s">
        <v>99</v>
      </c>
      <c r="B22" s="2" t="s">
        <v>93</v>
      </c>
      <c r="C22" s="2">
        <v>3</v>
      </c>
      <c r="D22" s="2">
        <v>114</v>
      </c>
      <c r="E22" s="2" t="s">
        <v>26</v>
      </c>
      <c r="F22" s="2" t="s">
        <v>103</v>
      </c>
      <c r="G22" s="2" t="s">
        <v>40</v>
      </c>
      <c r="H22" s="2" t="s">
        <v>95</v>
      </c>
      <c r="I22" s="2" t="s">
        <v>16</v>
      </c>
      <c r="J22" t="s">
        <v>96</v>
      </c>
      <c r="XFD22">
        <f t="shared" si="0"/>
        <v>117</v>
      </c>
    </row>
    <row r="23" spans="1:10 16384:16384" customFormat="1" ht="32">
      <c r="A23" s="5" t="s">
        <v>102</v>
      </c>
      <c r="B23" s="2" t="s">
        <v>93</v>
      </c>
      <c r="C23" s="2">
        <v>3</v>
      </c>
      <c r="D23" s="2">
        <v>114</v>
      </c>
      <c r="E23" s="2" t="s">
        <v>90</v>
      </c>
      <c r="F23" s="2" t="s">
        <v>105</v>
      </c>
      <c r="G23" s="2" t="s">
        <v>40</v>
      </c>
      <c r="H23" s="2" t="s">
        <v>95</v>
      </c>
      <c r="I23" s="2" t="s">
        <v>16</v>
      </c>
      <c r="J23" t="s">
        <v>96</v>
      </c>
      <c r="XFD23">
        <f t="shared" si="0"/>
        <v>117</v>
      </c>
    </row>
    <row r="24" spans="1:10 16384:16384" customFormat="1" ht="32">
      <c r="A24" s="2" t="s">
        <v>104</v>
      </c>
      <c r="B24" s="2" t="s">
        <v>93</v>
      </c>
      <c r="C24" s="2">
        <v>3</v>
      </c>
      <c r="D24" s="2">
        <v>114</v>
      </c>
      <c r="E24" s="2" t="s">
        <v>43</v>
      </c>
      <c r="F24" s="2" t="s">
        <v>107</v>
      </c>
      <c r="G24" s="2" t="s">
        <v>40</v>
      </c>
      <c r="H24" s="2" t="s">
        <v>95</v>
      </c>
      <c r="I24" s="2" t="s">
        <v>16</v>
      </c>
      <c r="J24" t="s">
        <v>96</v>
      </c>
      <c r="XFD24">
        <f t="shared" si="0"/>
        <v>117</v>
      </c>
    </row>
    <row r="25" spans="1:10 16384:16384" customFormat="1" ht="64">
      <c r="A25" s="5" t="s">
        <v>106</v>
      </c>
      <c r="B25" s="2" t="s">
        <v>108</v>
      </c>
      <c r="C25" s="2">
        <v>3</v>
      </c>
      <c r="D25" s="2">
        <v>121</v>
      </c>
      <c r="E25" s="2" t="s">
        <v>34</v>
      </c>
      <c r="F25" s="2" t="s">
        <v>109</v>
      </c>
      <c r="G25" s="2" t="s">
        <v>52</v>
      </c>
      <c r="H25" s="2" t="s">
        <v>110</v>
      </c>
      <c r="I25" s="2" t="s">
        <v>16</v>
      </c>
      <c r="J25" t="s">
        <v>111</v>
      </c>
      <c r="XFD25">
        <f t="shared" si="0"/>
        <v>124</v>
      </c>
    </row>
    <row r="26" spans="1:10 16384:16384" customFormat="1"/>
  </sheetData>
  <phoneticPr fontId="5" type="noConversion"/>
  <dataValidations count="1">
    <dataValidation type="list" sqref="I2:I1048576" xr:uid="{00000000-0002-0000-0000-000000000000}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zoomScale="107" zoomScaleNormal="107" workbookViewId="0">
      <pane ySplit="1" topLeftCell="A16" activePane="bottomLeft" state="frozen"/>
      <selection pane="bottomLeft" activeCell="A2" sqref="A2:A31"/>
    </sheetView>
  </sheetViews>
  <sheetFormatPr baseColWidth="10" defaultColWidth="8.83203125" defaultRowHeight="15"/>
  <cols>
    <col min="1" max="1" width="11" customWidth="1"/>
    <col min="2" max="2" width="12" customWidth="1"/>
    <col min="3" max="3" width="9" customWidth="1"/>
    <col min="4" max="4" width="11" customWidth="1"/>
    <col min="5" max="5" width="15" customWidth="1"/>
    <col min="6" max="6" width="66" customWidth="1"/>
  </cols>
  <sheetData>
    <row r="1" spans="1:6">
      <c r="A1" s="1" t="s">
        <v>112</v>
      </c>
      <c r="B1" s="1" t="s">
        <v>113</v>
      </c>
      <c r="C1" s="1" t="s">
        <v>2</v>
      </c>
      <c r="D1" s="1" t="s">
        <v>3</v>
      </c>
      <c r="E1" s="1" t="s">
        <v>114</v>
      </c>
      <c r="F1" s="1" t="s">
        <v>115</v>
      </c>
    </row>
    <row r="2" spans="1:6" ht="16">
      <c r="A2" s="2" t="s">
        <v>116</v>
      </c>
      <c r="B2" s="2" t="s">
        <v>117</v>
      </c>
      <c r="C2" s="2">
        <v>1</v>
      </c>
      <c r="D2" s="2">
        <v>143</v>
      </c>
      <c r="E2" s="2" t="s">
        <v>118</v>
      </c>
      <c r="F2" s="2" t="s">
        <v>30</v>
      </c>
    </row>
    <row r="3" spans="1:6" customFormat="1" ht="16">
      <c r="A3" s="2" t="s">
        <v>119</v>
      </c>
      <c r="B3" s="2" t="s">
        <v>117</v>
      </c>
      <c r="C3" s="2">
        <v>1</v>
      </c>
      <c r="D3" s="2">
        <v>143</v>
      </c>
      <c r="E3" s="2" t="s">
        <v>52</v>
      </c>
      <c r="F3" s="2" t="s">
        <v>120</v>
      </c>
    </row>
    <row r="4" spans="1:6" s="2" customFormat="1" ht="16">
      <c r="A4" s="2" t="s">
        <v>121</v>
      </c>
      <c r="B4" s="5" t="s">
        <v>117</v>
      </c>
      <c r="C4" s="2">
        <v>1</v>
      </c>
      <c r="D4" s="2">
        <v>143</v>
      </c>
      <c r="E4" s="2" t="s">
        <v>20</v>
      </c>
      <c r="F4" s="2" t="s">
        <v>21</v>
      </c>
    </row>
    <row r="5" spans="1:6" customFormat="1" ht="16">
      <c r="A5" s="2" t="s">
        <v>123</v>
      </c>
      <c r="B5" s="2" t="s">
        <v>117</v>
      </c>
      <c r="C5" s="2">
        <v>1</v>
      </c>
      <c r="D5" s="2">
        <v>143</v>
      </c>
      <c r="E5" s="2" t="s">
        <v>100</v>
      </c>
      <c r="F5" s="2" t="s">
        <v>122</v>
      </c>
    </row>
    <row r="6" spans="1:6" customFormat="1" ht="16">
      <c r="A6" s="2" t="s">
        <v>126</v>
      </c>
      <c r="B6" s="2" t="s">
        <v>117</v>
      </c>
      <c r="C6" s="2">
        <v>1</v>
      </c>
      <c r="D6" s="2">
        <v>143</v>
      </c>
      <c r="E6" s="2" t="s">
        <v>124</v>
      </c>
      <c r="F6" s="2" t="s">
        <v>125</v>
      </c>
    </row>
    <row r="7" spans="1:6" customFormat="1" ht="14" customHeight="1">
      <c r="A7" s="2" t="s">
        <v>129</v>
      </c>
      <c r="B7" s="2" t="s">
        <v>117</v>
      </c>
      <c r="C7" s="2">
        <v>1</v>
      </c>
      <c r="D7" s="2">
        <v>143</v>
      </c>
      <c r="E7" s="2" t="s">
        <v>127</v>
      </c>
      <c r="F7" s="2" t="s">
        <v>128</v>
      </c>
    </row>
    <row r="8" spans="1:6" customFormat="1" ht="16">
      <c r="A8" s="2" t="s">
        <v>131</v>
      </c>
      <c r="B8" s="2" t="s">
        <v>130</v>
      </c>
      <c r="C8" s="2">
        <v>1</v>
      </c>
      <c r="D8" s="2">
        <v>406</v>
      </c>
      <c r="E8" s="2" t="s">
        <v>52</v>
      </c>
      <c r="F8" s="2" t="s">
        <v>58</v>
      </c>
    </row>
    <row r="9" spans="1:6" customFormat="1" ht="32">
      <c r="A9" s="2" t="s">
        <v>134</v>
      </c>
      <c r="B9" s="2" t="s">
        <v>132</v>
      </c>
      <c r="C9" s="2">
        <v>1</v>
      </c>
      <c r="D9" s="2">
        <v>510</v>
      </c>
      <c r="E9" s="2" t="s">
        <v>76</v>
      </c>
      <c r="F9" s="2" t="s">
        <v>133</v>
      </c>
    </row>
    <row r="10" spans="1:6" customFormat="1" ht="16">
      <c r="A10" s="2" t="s">
        <v>137</v>
      </c>
      <c r="B10" s="2" t="s">
        <v>132</v>
      </c>
      <c r="C10" s="2">
        <v>1</v>
      </c>
      <c r="D10" s="2">
        <v>510</v>
      </c>
      <c r="E10" s="2" t="s">
        <v>135</v>
      </c>
      <c r="F10" s="2" t="s">
        <v>136</v>
      </c>
    </row>
    <row r="11" spans="1:6" customFormat="1" ht="16">
      <c r="A11" s="2" t="s">
        <v>139</v>
      </c>
      <c r="B11" s="2" t="s">
        <v>132</v>
      </c>
      <c r="C11" s="2">
        <v>1</v>
      </c>
      <c r="D11" s="2">
        <v>510</v>
      </c>
      <c r="E11" s="2" t="s">
        <v>52</v>
      </c>
      <c r="F11" s="2" t="s">
        <v>138</v>
      </c>
    </row>
    <row r="12" spans="1:6" customFormat="1" ht="16">
      <c r="A12" s="2" t="s">
        <v>141</v>
      </c>
      <c r="B12" s="2" t="s">
        <v>132</v>
      </c>
      <c r="C12" s="2">
        <v>1</v>
      </c>
      <c r="D12" s="2">
        <v>510</v>
      </c>
      <c r="E12" s="2" t="s">
        <v>29</v>
      </c>
      <c r="F12" s="2" t="s">
        <v>140</v>
      </c>
    </row>
    <row r="13" spans="1:6" customFormat="1" ht="16">
      <c r="A13" s="2" t="s">
        <v>143</v>
      </c>
      <c r="B13" s="2" t="s">
        <v>132</v>
      </c>
      <c r="C13" s="2">
        <v>1</v>
      </c>
      <c r="D13" s="2">
        <v>510</v>
      </c>
      <c r="E13" s="2" t="s">
        <v>22</v>
      </c>
      <c r="F13" s="2" t="s">
        <v>142</v>
      </c>
    </row>
    <row r="14" spans="1:6" customFormat="1" ht="16">
      <c r="A14" s="2" t="s">
        <v>145</v>
      </c>
      <c r="B14" s="2" t="s">
        <v>132</v>
      </c>
      <c r="C14" s="2">
        <v>1</v>
      </c>
      <c r="D14" s="2">
        <v>510</v>
      </c>
      <c r="E14" s="2" t="s">
        <v>124</v>
      </c>
      <c r="F14" s="2" t="s">
        <v>144</v>
      </c>
    </row>
    <row r="15" spans="1:6" customFormat="1" ht="32">
      <c r="A15" s="2" t="s">
        <v>148</v>
      </c>
      <c r="B15" s="2" t="s">
        <v>132</v>
      </c>
      <c r="C15" s="2">
        <v>1</v>
      </c>
      <c r="D15" s="2">
        <v>510</v>
      </c>
      <c r="E15" s="2" t="s">
        <v>146</v>
      </c>
      <c r="F15" s="2" t="s">
        <v>147</v>
      </c>
    </row>
    <row r="16" spans="1:6" customFormat="1" ht="96">
      <c r="A16" s="2" t="s">
        <v>150</v>
      </c>
      <c r="B16" s="2" t="s">
        <v>132</v>
      </c>
      <c r="C16" s="2">
        <v>1</v>
      </c>
      <c r="D16" s="2">
        <v>510</v>
      </c>
      <c r="E16" s="2" t="s">
        <v>40</v>
      </c>
      <c r="F16" s="2" t="s">
        <v>149</v>
      </c>
    </row>
    <row r="17" spans="1:6" ht="16">
      <c r="A17" s="2" t="s">
        <v>153</v>
      </c>
      <c r="B17" s="2" t="s">
        <v>151</v>
      </c>
      <c r="C17" s="2">
        <v>1</v>
      </c>
      <c r="D17" s="2">
        <v>515</v>
      </c>
      <c r="E17" s="2" t="s">
        <v>20</v>
      </c>
      <c r="F17" s="2" t="s">
        <v>152</v>
      </c>
    </row>
    <row r="18" spans="1:6" ht="32">
      <c r="A18" s="2" t="s">
        <v>155</v>
      </c>
      <c r="B18" s="2" t="s">
        <v>151</v>
      </c>
      <c r="C18" s="2">
        <v>1</v>
      </c>
      <c r="D18" s="2">
        <v>515</v>
      </c>
      <c r="E18" s="2" t="s">
        <v>52</v>
      </c>
      <c r="F18" s="2" t="s">
        <v>154</v>
      </c>
    </row>
    <row r="19" spans="1:6" ht="16">
      <c r="A19" s="2" t="s">
        <v>157</v>
      </c>
      <c r="B19" s="2" t="s">
        <v>151</v>
      </c>
      <c r="C19" s="2">
        <v>1</v>
      </c>
      <c r="D19" s="2">
        <v>515</v>
      </c>
      <c r="E19" s="2" t="s">
        <v>29</v>
      </c>
      <c r="F19" s="2" t="s">
        <v>156</v>
      </c>
    </row>
    <row r="20" spans="1:6" ht="16">
      <c r="A20" s="2" t="s">
        <v>159</v>
      </c>
      <c r="B20" s="2" t="s">
        <v>151</v>
      </c>
      <c r="C20" s="2">
        <v>1</v>
      </c>
      <c r="D20" s="2">
        <v>515</v>
      </c>
      <c r="E20" s="2" t="s">
        <v>124</v>
      </c>
      <c r="F20" s="2" t="s">
        <v>158</v>
      </c>
    </row>
    <row r="21" spans="1:6" ht="32">
      <c r="A21" s="2" t="s">
        <v>161</v>
      </c>
      <c r="B21" s="2" t="s">
        <v>151</v>
      </c>
      <c r="C21" s="2">
        <v>1</v>
      </c>
      <c r="D21" s="2">
        <v>515</v>
      </c>
      <c r="E21" s="2" t="s">
        <v>146</v>
      </c>
      <c r="F21" s="2" t="s">
        <v>160</v>
      </c>
    </row>
    <row r="22" spans="1:6" ht="16">
      <c r="A22" s="2" t="s">
        <v>163</v>
      </c>
      <c r="B22" s="2" t="s">
        <v>151</v>
      </c>
      <c r="C22" s="2">
        <v>1</v>
      </c>
      <c r="D22" s="2">
        <v>515</v>
      </c>
      <c r="E22" s="2" t="s">
        <v>43</v>
      </c>
      <c r="F22" s="2" t="s">
        <v>162</v>
      </c>
    </row>
    <row r="23" spans="1:6" ht="32">
      <c r="A23" s="2" t="s">
        <v>166</v>
      </c>
      <c r="B23" s="2" t="s">
        <v>164</v>
      </c>
      <c r="C23" s="2">
        <v>2</v>
      </c>
      <c r="D23" s="2">
        <v>149</v>
      </c>
      <c r="E23" s="2" t="s">
        <v>14</v>
      </c>
      <c r="F23" s="2" t="s">
        <v>165</v>
      </c>
    </row>
    <row r="24" spans="1:6" ht="32">
      <c r="A24" s="2" t="s">
        <v>168</v>
      </c>
      <c r="B24" s="2" t="s">
        <v>164</v>
      </c>
      <c r="C24" s="2">
        <v>2</v>
      </c>
      <c r="D24" s="2">
        <v>149</v>
      </c>
      <c r="E24" s="2" t="s">
        <v>52</v>
      </c>
      <c r="F24" s="2" t="s">
        <v>167</v>
      </c>
    </row>
    <row r="25" spans="1:6" ht="16">
      <c r="A25" s="2" t="s">
        <v>170</v>
      </c>
      <c r="B25" s="2" t="s">
        <v>164</v>
      </c>
      <c r="C25" s="2">
        <v>2</v>
      </c>
      <c r="D25" s="2">
        <v>149</v>
      </c>
      <c r="E25" s="2" t="s">
        <v>29</v>
      </c>
      <c r="F25" s="2" t="s">
        <v>169</v>
      </c>
    </row>
    <row r="26" spans="1:6" ht="32">
      <c r="A26" s="2" t="s">
        <v>172</v>
      </c>
      <c r="B26" s="2" t="s">
        <v>164</v>
      </c>
      <c r="C26" s="2">
        <v>2</v>
      </c>
      <c r="D26" s="2">
        <v>149</v>
      </c>
      <c r="E26" s="2" t="s">
        <v>146</v>
      </c>
      <c r="F26" s="2" t="s">
        <v>171</v>
      </c>
    </row>
    <row r="27" spans="1:6" ht="16">
      <c r="A27" s="2" t="s">
        <v>174</v>
      </c>
      <c r="B27" s="2" t="s">
        <v>164</v>
      </c>
      <c r="C27" s="2">
        <v>2</v>
      </c>
      <c r="D27" s="2">
        <v>149</v>
      </c>
      <c r="E27" s="2" t="s">
        <v>43</v>
      </c>
      <c r="F27" s="2" t="s">
        <v>173</v>
      </c>
    </row>
    <row r="28" spans="1:6" ht="16">
      <c r="A28" s="2" t="s">
        <v>177</v>
      </c>
      <c r="B28" s="2" t="s">
        <v>175</v>
      </c>
      <c r="C28" s="2">
        <v>2</v>
      </c>
      <c r="D28" s="2">
        <v>185</v>
      </c>
      <c r="E28" s="2" t="s">
        <v>124</v>
      </c>
      <c r="F28" s="2" t="s">
        <v>176</v>
      </c>
    </row>
    <row r="29" spans="1:6" ht="32">
      <c r="A29" s="2" t="s">
        <v>179</v>
      </c>
      <c r="B29" s="2" t="s">
        <v>175</v>
      </c>
      <c r="C29" s="2">
        <v>2</v>
      </c>
      <c r="D29" s="2">
        <v>185</v>
      </c>
      <c r="E29" s="2" t="s">
        <v>146</v>
      </c>
      <c r="F29" s="2" t="s">
        <v>178</v>
      </c>
    </row>
    <row r="30" spans="1:6" ht="16">
      <c r="A30" s="2" t="s">
        <v>181</v>
      </c>
      <c r="B30" s="2" t="s">
        <v>175</v>
      </c>
      <c r="C30" s="2">
        <v>2</v>
      </c>
      <c r="D30" s="2">
        <v>185</v>
      </c>
      <c r="E30" s="2" t="s">
        <v>43</v>
      </c>
      <c r="F30" s="2" t="s">
        <v>180</v>
      </c>
    </row>
    <row r="31" spans="1:6" ht="32">
      <c r="A31" s="2" t="s">
        <v>202</v>
      </c>
      <c r="B31" s="2" t="s">
        <v>175</v>
      </c>
      <c r="C31" s="2">
        <v>2</v>
      </c>
      <c r="D31" s="2">
        <v>185</v>
      </c>
      <c r="E31" s="2" t="s">
        <v>40</v>
      </c>
      <c r="F31" s="2" t="s">
        <v>182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2" width="12" customWidth="1"/>
    <col min="3" max="3" width="9" customWidth="1"/>
    <col min="4" max="4" width="11" customWidth="1"/>
    <col min="5" max="5" width="15" customWidth="1"/>
    <col min="6" max="6" width="45" customWidth="1"/>
    <col min="7" max="7" width="15" customWidth="1"/>
    <col min="8" max="8" width="45" customWidth="1"/>
    <col min="9" max="9" width="8" customWidth="1"/>
    <col min="10" max="10" width="10" customWidth="1"/>
    <col min="11" max="11" width="28" customWidth="1"/>
  </cols>
  <sheetData>
    <row r="1" spans="1:11">
      <c r="A1" s="1" t="s">
        <v>183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184</v>
      </c>
      <c r="K1" s="1" t="s">
        <v>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8" customWidth="1"/>
    <col min="2" max="2" width="120" customWidth="1"/>
  </cols>
  <sheetData>
    <row r="1" spans="1:2">
      <c r="A1" s="1" t="s">
        <v>186</v>
      </c>
      <c r="B1" s="1" t="s">
        <v>187</v>
      </c>
    </row>
    <row r="2" spans="1:2" ht="16">
      <c r="A2" s="2" t="s">
        <v>188</v>
      </c>
      <c r="B2" s="2" t="s">
        <v>189</v>
      </c>
    </row>
    <row r="3" spans="1:2" ht="16">
      <c r="A3" s="2" t="s">
        <v>190</v>
      </c>
      <c r="B3" s="2" t="s">
        <v>191</v>
      </c>
    </row>
    <row r="4" spans="1:2" ht="16">
      <c r="A4" s="2" t="s">
        <v>192</v>
      </c>
      <c r="B4" s="2" t="s">
        <v>193</v>
      </c>
    </row>
    <row r="5" spans="1:2" ht="16">
      <c r="A5" s="2" t="s">
        <v>194</v>
      </c>
      <c r="B5" s="2" t="s">
        <v>195</v>
      </c>
    </row>
    <row r="6" spans="1:2" ht="16">
      <c r="A6" s="2" t="s">
        <v>196</v>
      </c>
      <c r="B6" s="2" t="s">
        <v>197</v>
      </c>
    </row>
    <row r="7" spans="1:2" ht="16">
      <c r="A7" s="2" t="s">
        <v>198</v>
      </c>
      <c r="B7" s="2" t="s">
        <v>199</v>
      </c>
    </row>
    <row r="8" spans="1:2" ht="16">
      <c r="A8" s="2" t="s">
        <v>200</v>
      </c>
      <c r="B8" s="2" t="s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eval_edges</vt:lpstr>
      <vt:lpstr>ref_notes</vt:lpstr>
      <vt:lpstr>pending_eval_rows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Qiyu Chen</cp:lastModifiedBy>
  <dcterms:created xsi:type="dcterms:W3CDTF">2026-03-20T06:07:00Z</dcterms:created>
  <dcterms:modified xsi:type="dcterms:W3CDTF">2026-03-25T06:45:44Z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2EE4E645D63F4332981C579BC58A5134_13</vt:lpwstr>
  </property>
  <property fmtid="{D5CDD505-2E9C-101B-9397-08002B2CF9AE}" pid="3" name="KSOProductBuildVer">
    <vt:lpwstr>2052-12.1.0.23542</vt:lpwstr>
  </property>
</Properties>
</file>